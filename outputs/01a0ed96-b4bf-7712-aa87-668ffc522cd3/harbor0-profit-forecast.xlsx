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04058e571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" sheetId="1" r:id="Rba4d952c6cda45a1"/>
    <x:sheet xmlns:r="http://schemas.openxmlformats.org/officeDocument/2006/relationships" name="Assumptions" sheetId="2" r:id="R44bb11531edb4722"/>
    <x:sheet xmlns:r="http://schemas.openxmlformats.org/officeDocument/2006/relationships" name="Market prices" sheetId="3" r:id="R2a3d34d8a6ac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"/>
    <x:numFmt numFmtId="201" formatCode="0.0%"/>
    <x:numFmt numFmtId="202" formatCode="$0.000"/>
    <x:numFmt numFmtId="203" formatCode="#,##0"/>
    <x:numFmt numFmtId="204" formatCode="$#,##0;($#,##0);&quot;–&quot;"/>
    <x:numFmt numFmtId="205" formatCode="0%"/>
    <x:numFmt numFmtId="206" formatCode="&quot;₹&quot;#,##0"/>
    <x:numFmt numFmtId="207" formatCode="$0.0000"/>
    <x:numFmt numFmtId="208" formatCode="$0.00;($0.00);&quot;–&quot;"/>
    <x:numFmt numFmtId="209" formatCode="0"/>
    <x:numFmt numFmtId="210" formatCode="$0.00"/>
  </x:numFmts>
  <x:fonts count="9">
    <x:font>
      <x:sz val="11"/>
      <x:name val="Carlito"/>
    </x:font>
    <x:font>
      <x:sz val="10"/>
      <x:color rgb="FF182B3A"/>
      <x:name val="Arial"/>
    </x:font>
    <x:font>
      <x:b/>
      <x:sz val="16"/>
      <x:color rgb="FF182B3A"/>
      <x:name val="Arial"/>
    </x:font>
    <x:font>
      <x:i/>
      <x:sz val="10"/>
      <x:color rgb="FF182B3A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82B3A"/>
      <x:name val="Arial"/>
    </x:font>
    <x:font>
      <x:b/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D52"/>
      </x:patternFill>
    </x:fill>
    <x:fill>
      <x:patternFill patternType="solid">
        <x:fgColor rgb="FFFFF3CE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204" fontId="5" fillId="3" borderId="0" xfId="0" applyNumberFormat="1" applyFont="1" applyFill="1" applyBorder="1"/>
    <x:xf numFmtId="205" fontId="5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  <x:xf numFmtId="0" fontId="6" fillId="0" borderId="0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6" fontId="6" fillId="0" borderId="0" xfId="0" applyNumberFormat="1" applyFont="1" applyFill="1" applyBorder="1"/>
    <x:xf numFmtId="0" fontId="7" fillId="0" borderId="0" xfId="0" applyNumberFormat="1" applyFont="1" applyFill="1" applyBorder="1"/>
    <x:xf numFmtId="204" fontId="7" fillId="0" borderId="0" xfId="0" applyNumberFormat="1" applyFont="1" applyFill="1" applyBorder="1"/>
    <x:xf numFmtId="206" fontId="8" fillId="0" borderId="0" xfId="0" applyNumberFormat="1" applyFont="1" applyFill="1" applyBorder="1"/>
    <x:xf numFmtId="207" fontId="6" fillId="0" borderId="0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8" fontId="6" fillId="0" borderId="0" xfId="0" applyNumberFormat="1" applyFont="1" applyFill="1" applyBorder="1"/>
    <x:xf numFmtId="208" fontId="1" fillId="0" borderId="0" xfId="0" applyNumberFormat="1" applyFont="1" applyFill="1" applyBorder="1"/>
    <x:xf numFmtId="209" fontId="6" fillId="0" borderId="0" xfId="0" applyNumberFormat="1" applyFont="1" applyFill="1" applyBorder="1"/>
    <x:xf numFmtId="210" fontId="1" fillId="0" borderId="0" xfId="0" applyNumberFormat="1" applyFont="1" applyFill="1" applyBorder="1"/>
    <x:xf numFmtId="206" fontId="7" fillId="0" borderId="0" xfId="0" applyNumberFormat="1" applyFont="1" applyFill="1" applyBorder="1"/>
  </x:cellXfs>
  <x:cellStyles count="1">
    <x:cellStyle name="Normal" xfId="0"/>
  </x:cellStyles>
  <x:dxfs count="2">
    <x:dxf>
      <x:font>
        <x:color rgb="FFB3261E"/>
      </x:font>
    </x:dxf>
    <x:dxf>
      <x:font>
        <x:b/>
        <x:color rgb="FFB3261E"/>
      </x:font>
      <x:fill>
        <x:patternFill patternType="solid">
          <x:bgColor rgb="FFFF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8e3019b184935" /><Relationship Type="http://schemas.openxmlformats.org/officeDocument/2006/relationships/theme" Target="/xl/theme/theme1.xml" Id="Rfebde7c2623545c0" /><Relationship Type="http://schemas.openxmlformats.org/officeDocument/2006/relationships/sharedStrings" Target="/xl/sharedStrings.xml" Id="R30c205c5b13f4c53" /><Relationship Type="http://schemas.openxmlformats.org/officeDocument/2006/relationships/worksheet" Target="/xl/worksheets/sheet1.xml" Id="Rba4d952c6cda45a1" /><Relationship Type="http://schemas.openxmlformats.org/officeDocument/2006/relationships/worksheet" Target="/xl/worksheets/sheet2.xml" Id="R44bb11531edb4722" /><Relationship Type="http://schemas.openxmlformats.org/officeDocument/2006/relationships/worksheet" Target="/xl/worksheets/sheet3.xml" Id="R2a3d34d8a6ac41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D5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1"/>
      <x:c r="B2" s="2" t="str">
        <x:v>Harbor0 monthly profit forecast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3" t="str">
        <x:v>USD unless stated. Editable assumptions are on the next tab. Scale scenarios, not a growth promise.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/>
      <x:c r="B4" s="1" t="str">
        <x:v>500 GB at $10 with 60% usage; 1 TB at $20 with 40% usage.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/>
      <x:c r="B5" s="5" t="str">
        <x:v>Selected month</x:v>
      </x:c>
      <x:c r="C5" s="5"/>
      <x:c r="D5" s="5"/>
      <x:c r="E5" s="5"/>
      <x:c r="F5" s="5"/>
      <x:c r="G5" s="5"/>
      <x:c r="H5" s="5"/>
      <x:c r="I5" s="1"/>
      <x:c r="J5" s="1"/>
      <x:c r="K5" s="1"/>
    </x:row>
    <x:row r="6" ht="22" customHeight="1">
      <x:c r="A6" s="1"/>
      <x:c r="B6" s="1" t="str">
        <x:v>Total accounts</x:v>
      </x:c>
      <x:c r="C6" s="24" t="n">
        <x:f>'Assumptions'!C7</x:f>
        <x:v>1000</x:v>
      </x:c>
      <x:c r="D6" s="1"/>
      <x:c r="E6" s="1" t="str">
        <x:v>Accounts for target draw</x:v>
      </x:c>
      <x:c r="F6" s="1"/>
      <x:c r="G6" s="1"/>
      <x:c r="H6" s="24" t="str">
        <x:f>IF(OR(C42&lt;=0,C45&lt;=0),"Not viable",ROUNDUP((C46+C44)/C42,0))</x:f>
        <x:v>Not viable</x:v>
      </x:c>
      <x:c r="I6" s="1"/>
      <x:c r="J6" s="1"/>
      <x:c r="K6" s="1"/>
    </x:row>
    <x:row r="7" ht="22" customHeight="1">
      <x:c r="A7" s="1"/>
      <x:c r="B7" s="1" t="str">
        <x:v>Paying accounts</x:v>
      </x:c>
      <x:c r="C7" s="24" t="n">
        <x:f>ROUND(C6*'Assumptions'!C8,0)</x:f>
        <x:v>20</x:v>
      </x:c>
      <x:c r="D7" s="1"/>
      <x:c r="E7" s="1" t="str">
        <x:v>Paying accounts at target</x:v>
      </x:c>
      <x:c r="F7" s="1"/>
      <x:c r="G7" s="1"/>
      <x:c r="H7" s="24" t="str">
        <x:f>IF(ISNUMBER(H6),ROUNDUP(H6*'Assumptions'!C8,0),"Not viable")</x:f>
        <x:v>Not viable</x:v>
      </x:c>
      <x:c r="I7" s="1"/>
      <x:c r="J7" s="1"/>
      <x:c r="K7" s="1"/>
    </x:row>
    <x:row r="8" ht="22" customHeight="1">
      <x:c r="A8" s="1"/>
      <x:c r="B8" s="1" t="str">
        <x:v>Free accounts</x:v>
      </x:c>
      <x:c r="C8" s="24" t="n">
        <x:f>C6-C7</x:f>
        <x:v>980</x:v>
      </x:c>
      <x:c r="D8" s="1"/>
      <x:c r="E8" s="1" t="str">
        <x:v>Revenue at target (approx.)</x:v>
      </x:c>
      <x:c r="F8" s="1"/>
      <x:c r="G8" s="1"/>
      <x:c r="H8" s="17" t="str">
        <x:f>IF(ISNUMBER(H7),H7*C34,"Not viable")</x:f>
        <x:v>Not viable</x:v>
      </x:c>
      <x:c r="I8" s="1"/>
      <x:c r="J8" s="1"/>
      <x:c r="K8" s="1"/>
    </x:row>
    <x:row r="9" ht="22" customHeight="1">
      <x:c r="A9" s="1"/>
      <x:c r="B9" s="20" t="str">
        <x:v>Subscription revenue</x:v>
      </x:c>
      <x:c r="C9" s="21" t="n">
        <x:f>C7*C34</x:f>
        <x:v>280</x:v>
      </x:c>
      <x:c r="D9" s="1"/>
      <x:c r="E9" s="1"/>
      <x:c r="F9" s="1"/>
      <x:c r="G9" s="1"/>
      <x:c r="H9" s="1"/>
      <x:c r="I9" s="1"/>
      <x:c r="J9" s="1"/>
      <x:c r="K9" s="1"/>
    </x:row>
    <x:row r="10" ht="22" customHeight="1">
      <x:c r="A10" s="1"/>
      <x:c r="B10" s="20" t="str">
        <x:v>Total operating costs</x:v>
      </x:c>
      <x:c r="C10" s="21" t="n">
        <x:f>SUM(C12:C18)</x:f>
        <x:v>1885.4</x:v>
      </x:c>
      <x:c r="D10" s="1"/>
      <x:c r="E10" s="1" t="str">
        <x:v>Operating break-even accounts</x:v>
      </x:c>
      <x:c r="F10" s="1"/>
      <x:c r="G10" s="1"/>
      <x:c r="H10" s="24" t="str">
        <x:f>IF(C42&lt;=0,"Not viable",ROUNDUP(C44/C42,0))</x:f>
        <x:v>Not viable</x:v>
      </x:c>
      <x:c r="I10" s="1"/>
      <x:c r="J10" s="1"/>
      <x:c r="K10" s="1"/>
    </x:row>
    <x:row r="11" ht="22" customHeight="1">
      <x:c r="A11" s="1"/>
      <x:c r="B11" s="20" t="str">
        <x:v>Operating profit before reserves</x:v>
      </x:c>
      <x:c r="C11" s="21" t="n">
        <x:f>C9-C10</x:f>
        <x:v>-1605.4</x:v>
      </x:c>
      <x:c r="D11" s="1"/>
      <x:c r="E11" s="1" t="str">
        <x:v>Minimum profitable paying share</x:v>
      </x:c>
      <x:c r="F11" s="1"/>
      <x:c r="G11" s="1"/>
      <x:c r="H11" s="26" t="n">
        <x:f>IF(C40&lt;=0,"None",C39/(C40+C39))</x:f>
        <x:v>0.08507223113964688</x:v>
      </x:c>
      <x:c r="I11" s="1"/>
      <x:c r="J11" s="1"/>
      <x:c r="K11" s="1"/>
    </x:row>
    <x:row r="12" ht="22" customHeight="1">
      <x:c r="A12" s="1"/>
      <x:c r="B12" s="1" t="str">
        <x:v>Storage: free and paid</x:v>
      </x:c>
      <x:c r="C12" s="17" t="n">
        <x:f>C8*C37+C7*C38</x:f>
        <x:v>435.59999999999997</x:v>
      </x:c>
      <x:c r="D12" s="1"/>
      <x:c r="E12" s="1"/>
      <x:c r="F12" s="1"/>
      <x:c r="G12" s="1"/>
      <x:c r="H12" s="1"/>
      <x:c r="I12" s="1"/>
      <x:c r="J12" s="1"/>
      <x:c r="K12" s="1"/>
    </x:row>
    <x:row r="13" ht="22" customHeight="1">
      <x:c r="A13" s="1"/>
      <x:c r="B13" s="1" t="str">
        <x:v>Payment processing</x:v>
      </x:c>
      <x:c r="C13" s="17" t="n">
        <x:f>C9*'Assumptions'!C13+C7*'Assumptions'!C14</x:f>
        <x:v>24</x:v>
      </x:c>
      <x:c r="D13" s="1"/>
      <x:c r="E13" s="1" t="str">
        <x:v>Runway cash at selected scale</x:v>
      </x:c>
      <x:c r="F13" s="1"/>
      <x:c r="G13" s="1"/>
      <x:c r="H13" s="17" t="n">
        <x:f>(C10+'Assumptions'!C24)*'Assumptions'!C26</x:f>
        <x:v>26312.399999999998</x:v>
      </x:c>
      <x:c r="I13" s="1"/>
      <x:c r="J13" s="1"/>
      <x:c r="K13" s="1"/>
    </x:row>
    <x:row r="14" ht="22" customHeight="1">
      <x:c r="A14" s="1"/>
      <x:c r="B14" s="1" t="str">
        <x:v>Refund / FX contingency</x:v>
      </x:c>
      <x:c r="C14" s="17" t="n">
        <x:f>C9*'Assumptions'!C15</x:f>
        <x:v>2.8000000000000003</x:v>
      </x:c>
      <x:c r="D14" s="1"/>
      <x:c r="E14" s="1" t="str">
        <x:v>Includes costs + target owner draw</x:v>
      </x:c>
      <x:c r="F14" s="1"/>
      <x:c r="G14" s="1"/>
      <x:c r="H14" s="1"/>
      <x:c r="I14" s="1"/>
      <x:c r="J14" s="1"/>
      <x:c r="K14" s="1"/>
    </x:row>
    <x:row r="15" ht="22" customHeight="1">
      <x:c r="A15" s="1"/>
      <x:c r="B15" s="1" t="str">
        <x:v>Other infrastructure</x:v>
      </x:c>
      <x:c r="C15" s="17" t="n">
        <x:f>C8*'Assumptions'!C16+C7*'Assumptions'!C17</x:f>
        <x:v>208</x:v>
      </x:c>
      <x:c r="D15" s="1"/>
      <x:c r="E15" s="1"/>
      <x:c r="F15" s="1"/>
      <x:c r="G15" s="1"/>
      <x:c r="H15" s="1"/>
      <x:c r="I15" s="1"/>
      <x:c r="J15" s="1"/>
      <x:c r="K15" s="1"/>
    </x:row>
    <x:row r="16" ht="22" customHeight="1">
      <x:c r="A16" s="1"/>
      <x:c r="B16" s="1" t="str">
        <x:v>Customer support allowance</x:v>
      </x:c>
      <x:c r="C16" s="17" t="n">
        <x:f>C7*'Assumptions'!C18</x:f>
        <x:v>15</x:v>
      </x:c>
      <x:c r="D16" s="1"/>
      <x:c r="E16" s="1" t="str">
        <x:v>Paying share assumption</x:v>
      </x:c>
      <x:c r="F16" s="1"/>
      <x:c r="G16" s="1"/>
      <x:c r="H16" s="26" t="n">
        <x:f>'Assumptions'!C8</x:f>
        <x:v>0.02</x:v>
      </x:c>
      <x:c r="I16" s="1"/>
      <x:c r="J16" s="1"/>
      <x:c r="K16" s="1"/>
    </x:row>
    <x:row r="17" ht="22" customHeight="1">
      <x:c r="A17" s="1"/>
      <x:c r="B17" s="1" t="str">
        <x:v>Fixed operating costs</x:v>
      </x:c>
      <x:c r="C17" s="17" t="n">
        <x:f>C43</x:f>
        <x:v>700</x:v>
      </x:c>
      <x:c r="D17" s="1"/>
      <x:c r="E17" s="1" t="str">
        <x:v>Average free usage (GB)</x:v>
      </x:c>
      <x:c r="F17" s="1"/>
      <x:c r="G17" s="1"/>
      <x:c r="H17" s="24" t="n">
        <x:f>'Assumptions'!C9</x:f>
        <x:v>20</x:v>
      </x:c>
      <x:c r="I17" s="1"/>
      <x:c r="J17" s="1"/>
      <x:c r="K17" s="1"/>
    </x:row>
    <x:row r="18" ht="22" customHeight="1">
      <x:c r="A18" s="1"/>
      <x:c r="B18" s="1" t="str">
        <x:v>Marketing</x:v>
      </x:c>
      <x:c r="C18" s="17" t="n">
        <x:f>'Assumptions'!C20</x:f>
        <x:v>500</x:v>
      </x:c>
      <x:c r="D18" s="1"/>
      <x:c r="E18" s="1" t="str">
        <x:v>Weighted paid capacity utilization</x:v>
      </x:c>
      <x:c r="F18" s="1"/>
      <x:c r="G18" s="1"/>
      <x:c r="H18" s="26" t="n">
        <x:f>'Assumptions'!C10</x:f>
        <x:v>0.4857142857142857</x:v>
      </x:c>
      <x:c r="I18" s="1"/>
      <x:c r="J18" s="1"/>
      <x:c r="K18" s="1"/>
    </x:row>
    <x:row r="19" ht="22" customHeight="1">
      <x:c r="A19" s="1"/>
      <x:c r="B19" s="1" t="str">
        <x:v>Tax reserve</x:v>
      </x:c>
      <x:c r="C19" s="17" t="n">
        <x:f>MAX(0,C11)*'Assumptions'!C22</x:f>
        <x:v>0</x:v>
      </x:c>
      <x:c r="D19" s="1"/>
      <x:c r="E19" s="1"/>
      <x:c r="F19" s="1"/>
      <x:c r="G19" s="1"/>
      <x:c r="H19" s="1"/>
      <x:c r="I19" s="1"/>
      <x:c r="J19" s="1"/>
      <x:c r="K19" s="1"/>
    </x:row>
    <x:row r="20" ht="22" customHeight="1">
      <x:c r="A20" s="1"/>
      <x:c r="B20" s="1" t="str">
        <x:v>Business retention</x:v>
      </x:c>
      <x:c r="C20" s="17" t="n">
        <x:f>MAX(0,C11-C19)*'Assumptions'!C23</x:f>
        <x:v>0</x:v>
      </x:c>
      <x:c r="D20" s="1"/>
      <x:c r="E20" s="1" t="str">
        <x:v>Target after reserves</x:v>
      </x:c>
      <x:c r="F20" s="1"/>
      <x:c r="G20" s="1"/>
      <x:c r="H20" s="17" t="n">
        <x:f>'Assumptions'!C24</x:f>
        <x:v>2500</x:v>
      </x:c>
      <x:c r="I20" s="1"/>
      <x:c r="J20" s="1"/>
      <x:c r="K20" s="1"/>
    </x:row>
    <x:row r="21" ht="22" customHeight="1">
      <x:c r="A21" s="1"/>
      <x:c r="B21" s="20" t="str">
        <x:v>Available owner draw</x:v>
      </x:c>
      <x:c r="C21" s="21" t="n">
        <x:f>MAX(0,C11-C19-C20)</x:f>
        <x:v>0</x:v>
      </x:c>
      <x:c r="D21" s="1"/>
      <x:c r="E21" s="1"/>
      <x:c r="F21" s="1"/>
      <x:c r="G21" s="1"/>
      <x:c r="H21" s="1"/>
      <x:c r="I21" s="1"/>
      <x:c r="J21" s="1"/>
      <x:c r="K21" s="1"/>
    </x:row>
    <x:row r="22" ht="22" customHeight="1">
      <x:c r="A22" s="1"/>
      <x:c r="B22" s="20" t="str">
        <x:v>Owner draw in INR</x:v>
      </x:c>
      <x:c r="C22" s="34" t="n">
        <x:f>C21*'Assumptions'!C25</x:f>
        <x:v>0</x:v>
      </x:c>
      <x:c r="D22" s="1"/>
      <x:c r="E22" s="1"/>
      <x:c r="F22" s="1"/>
      <x:c r="G22" s="1"/>
      <x:c r="H22" s="1"/>
      <x:c r="I22" s="1"/>
      <x:c r="J22" s="1"/>
      <x:c r="K22" s="1"/>
    </x:row>
    <x:row r="23" ht="22" customHeight="1">
      <x:c r="A23" s="1"/>
      <x:c r="B23" s="1"/>
      <x:c r="C23" s="1"/>
      <x:c r="D23" s="1"/>
      <x:c r="E23" s="1" t="str">
        <x:v>Free cost ceiling before fixed costs</x:v>
      </x:c>
      <x:c r="F23" s="1"/>
      <x:c r="G23" s="1"/>
      <x:c r="H23" s="23" t="n">
        <x:f>IF('Assumptions'!C8=1,"n.a.",C40*'Assumptions'!C8/(1-'Assumptions'!C8))</x:f>
        <x:v>0.11632653061224489</x:v>
      </x:c>
      <x:c r="I23" s="1"/>
      <x:c r="J23" s="1"/>
      <x:c r="K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5" customHeight="1">
      <x:c r="A25" s="1"/>
      <x:c r="B25" s="5" t="str">
        <x:v>Results at different account counts</x:v>
      </x:c>
      <x:c r="C25" s="5"/>
      <x:c r="D25" s="5"/>
      <x:c r="E25" s="5"/>
      <x:c r="F25" s="5"/>
      <x:c r="G25" s="5"/>
      <x:c r="H25" s="5"/>
      <x:c r="I25" s="1"/>
      <x:c r="J25" s="1"/>
      <x:c r="K25" s="1"/>
    </x:row>
    <x:row r="26" ht="33" customHeight="1">
      <x:c r="A26" s="1"/>
      <x:c r="B26" s="28" t="str">
        <x:v>Total accounts</x:v>
      </x:c>
      <x:c r="C26" s="28" t="str">
        <x:v>Paying accounts</x:v>
      </x:c>
      <x:c r="D26" s="28" t="str">
        <x:v>Revenue</x:v>
      </x:c>
      <x:c r="E26" s="28" t="str">
        <x:v>All operating costs</x:v>
      </x:c>
      <x:c r="F26" s="28" t="str">
        <x:v>Operating profit</x:v>
      </x:c>
      <x:c r="G26" s="28" t="str">
        <x:v>Owner draw</x:v>
      </x:c>
      <x:c r="H26" s="28" t="str">
        <x:v>Draw in INR</x:v>
      </x:c>
      <x:c r="I26" s="1"/>
      <x:c r="J26" s="1"/>
      <x:c r="K26" s="1"/>
    </x:row>
    <x:row r="27" ht="22" customHeight="1">
      <x:c r="A27" s="1"/>
      <x:c r="B27" s="24" t="n">
        <x:v>1000</x:v>
      </x:c>
      <x:c r="C27" s="24" t="n">
        <x:f>ROUND(B27*'Assumptions'!$C$8,0)</x:f>
        <x:v>20</x:v>
      </x:c>
      <x:c r="D27" s="17" t="n">
        <x:f>C27*$C$34</x:f>
        <x:v>280</x:v>
      </x:c>
      <x:c r="E27" s="17" t="n">
        <x:f>(B27-C27)*$C$39+C27*$C$41+$C$44</x:f>
        <x:v>1885.4</x:v>
      </x:c>
      <x:c r="F27" s="17" t="n">
        <x:f>D27-E27</x:f>
        <x:v>-1605.4</x:v>
      </x:c>
      <x:c r="G27" s="17" t="n">
        <x:f>MAX(0,F27)*$C$45</x:f>
        <x:v>0</x:v>
      </x:c>
      <x:c r="H27" s="29" t="n">
        <x:f>G27*'Assumptions'!$C$25</x:f>
        <x:v>0</x:v>
      </x:c>
      <x:c r="I27" s="1"/>
      <x:c r="J27" s="1"/>
      <x:c r="K27" s="1"/>
    </x:row>
    <x:row r="28" ht="22" customHeight="1">
      <x:c r="A28" s="1"/>
      <x:c r="B28" s="24" t="n">
        <x:v>5000</x:v>
      </x:c>
      <x:c r="C28" s="24" t="n">
        <x:f>ROUND(B28*'Assumptions'!$C$8,0)</x:f>
        <x:v>100</x:v>
      </x:c>
      <x:c r="D28" s="17" t="n">
        <x:f>C28*$C$34</x:f>
        <x:v>1400</x:v>
      </x:c>
      <x:c r="E28" s="17" t="n">
        <x:f>(B28-C28)*$C$39+C28*$C$41+$C$44</x:f>
        <x:v>4627</x:v>
      </x:c>
      <x:c r="F28" s="17" t="n">
        <x:f>D28-E28</x:f>
        <x:v>-3227</x:v>
      </x:c>
      <x:c r="G28" s="17" t="n">
        <x:f>MAX(0,F28)*$C$45</x:f>
        <x:v>0</x:v>
      </x:c>
      <x:c r="H28" s="29" t="n">
        <x:f>G28*'Assumptions'!$C$25</x:f>
        <x:v>0</x:v>
      </x:c>
      <x:c r="I28" s="1"/>
      <x:c r="J28" s="1"/>
      <x:c r="K28" s="1"/>
    </x:row>
    <x:row r="29" ht="22" customHeight="1">
      <x:c r="A29" s="1"/>
      <x:c r="B29" s="24" t="n">
        <x:v>10000</x:v>
      </x:c>
      <x:c r="C29" s="24" t="n">
        <x:f>ROUND(B29*'Assumptions'!$C$8,0)</x:f>
        <x:v>200</x:v>
      </x:c>
      <x:c r="D29" s="17" t="n">
        <x:f>C29*$C$34</x:f>
        <x:v>2800</x:v>
      </x:c>
      <x:c r="E29" s="17" t="n">
        <x:f>(B29-C29)*$C$39+C29*$C$41+$C$44</x:f>
        <x:v>8054</x:v>
      </x:c>
      <x:c r="F29" s="17" t="n">
        <x:f>D29-E29</x:f>
        <x:v>-5254</x:v>
      </x:c>
      <x:c r="G29" s="17" t="n">
        <x:f>MAX(0,F29)*$C$45</x:f>
        <x:v>0</x:v>
      </x:c>
      <x:c r="H29" s="29" t="n">
        <x:f>G29*'Assumptions'!$C$25</x:f>
        <x:v>0</x:v>
      </x:c>
      <x:c r="I29" s="1"/>
      <x:c r="J29" s="1"/>
      <x:c r="K29" s="1"/>
    </x:row>
    <x:row r="30" ht="22" customHeight="1">
      <x:c r="A30" s="1"/>
      <x:c r="B30" s="24" t="n">
        <x:v>25000</x:v>
      </x:c>
      <x:c r="C30" s="24" t="n">
        <x:f>ROUND(B30*'Assumptions'!$C$8,0)</x:f>
        <x:v>500</x:v>
      </x:c>
      <x:c r="D30" s="17" t="n">
        <x:f>C30*$C$34</x:f>
        <x:v>7000</x:v>
      </x:c>
      <x:c r="E30" s="17" t="n">
        <x:f>(B30-C30)*$C$39+C30*$C$41+$C$44</x:f>
        <x:v>18335</x:v>
      </x:c>
      <x:c r="F30" s="17" t="n">
        <x:f>D30-E30</x:f>
        <x:v>-11335</x:v>
      </x:c>
      <x:c r="G30" s="17" t="n">
        <x:f>MAX(0,F30)*$C$45</x:f>
        <x:v>0</x:v>
      </x:c>
      <x:c r="H30" s="29" t="n">
        <x:f>G30*'Assumptions'!$C$25</x:f>
        <x:v>0</x:v>
      </x:c>
      <x:c r="I30" s="1"/>
      <x:c r="J30" s="1"/>
      <x:c r="K30" s="1"/>
    </x:row>
    <x:row r="31" ht="22" customHeight="1">
      <x:c r="A31" s="1"/>
      <x:c r="B31" s="24" t="n">
        <x:v>50000</x:v>
      </x:c>
      <x:c r="C31" s="24" t="n">
        <x:f>ROUND(B31*'Assumptions'!$C$8,0)</x:f>
        <x:v>1000</x:v>
      </x:c>
      <x:c r="D31" s="17" t="n">
        <x:f>C31*$C$34</x:f>
        <x:v>14000</x:v>
      </x:c>
      <x:c r="E31" s="17" t="n">
        <x:f>(B31-C31)*$C$39+C31*$C$41+$C$44</x:f>
        <x:v>35470</x:v>
      </x:c>
      <x:c r="F31" s="17" t="n">
        <x:f>D31-E31</x:f>
        <x:v>-21470</x:v>
      </x:c>
      <x:c r="G31" s="17" t="n">
        <x:f>MAX(0,F31)*$C$45</x:f>
        <x:v>0</x:v>
      </x:c>
      <x:c r="H31" s="29" t="n">
        <x:f>G31*'Assumptions'!$C$25</x:f>
        <x:v>0</x:v>
      </x:c>
      <x:c r="I31" s="1"/>
      <x:c r="J31" s="1"/>
      <x:c r="K31" s="1"/>
    </x:row>
    <x:row r="32" ht="22" customHeight="1">
      <x:c r="A32" s="1"/>
      <x:c r="B32" s="24" t="n">
        <x:v>100000</x:v>
      </x:c>
      <x:c r="C32" s="24" t="n">
        <x:f>ROUND(B32*'Assumptions'!$C$8,0)</x:f>
        <x:v>2000</x:v>
      </x:c>
      <x:c r="D32" s="17" t="n">
        <x:f>C32*$C$34</x:f>
        <x:v>28000</x:v>
      </x:c>
      <x:c r="E32" s="17" t="n">
        <x:f>(B32-C32)*$C$39+C32*$C$41+$C$44</x:f>
        <x:v>69740</x:v>
      </x:c>
      <x:c r="F32" s="17" t="n">
        <x:f>D32-E32</x:f>
        <x:v>-41740</x:v>
      </x:c>
      <x:c r="G32" s="17" t="n">
        <x:f>MAX(0,F32)*$C$45</x:f>
        <x:v>0</x:v>
      </x:c>
      <x:c r="H32" s="29" t="n">
        <x:f>G32*'Assumptions'!$C$25</x:f>
        <x:v>0</x:v>
      </x:c>
      <x:c r="I32" s="1"/>
      <x:c r="J32" s="1"/>
      <x:c r="K32" s="1"/>
    </x:row>
    <x:row r="33" ht="25" customHeight="1">
      <x:c r="A33" s="1"/>
      <x:c r="B33" s="5" t="str">
        <x:v>Unit economics and target calculation</x:v>
      </x:c>
      <x:c r="C33" s="5"/>
      <x:c r="D33" s="5"/>
      <x:c r="E33" s="5"/>
      <x:c r="F33" s="5"/>
      <x:c r="G33" s="5"/>
      <x:c r="H33" s="5"/>
      <x:c r="I33" s="1"/>
      <x:c r="J33" s="1"/>
      <x:c r="K33" s="1"/>
    </x:row>
    <x:row r="34" ht="22" customHeight="1">
      <x:c r="A34" s="1"/>
      <x:c r="B34" s="1" t="str">
        <x:v>Average paid revenue</x:v>
      </x:c>
      <x:c r="C34" s="30" t="n">
        <x:f>SUMPRODUCT('Assumptions'!C31:C32,'Assumptions'!D31:D32)</x:f>
        <x:v>14</x:v>
      </x:c>
      <x:c r="D34" s="1"/>
      <x:c r="E34" s="1"/>
      <x:c r="F34" s="1"/>
      <x:c r="G34" s="1"/>
      <x:c r="H34" s="1"/>
      <x:c r="I34" s="1"/>
      <x:c r="J34" s="1"/>
      <x:c r="K34" s="1"/>
    </x:row>
    <x:row r="35" ht="22" customHeight="1">
      <x:c r="A35" s="1"/>
      <x:c r="B35" s="1" t="str">
        <x:v>Average paid capacity (GB)</x:v>
      </x:c>
      <x:c r="C35" s="25" t="n">
        <x:f>SUMPRODUCT('Assumptions'!B31:B32,'Assumptions'!D31:D32)</x:f>
        <x:v>700</x:v>
      </x:c>
      <x:c r="D35" s="1"/>
      <x:c r="E35" s="1"/>
      <x:c r="F35" s="1"/>
      <x:c r="G35" s="1"/>
      <x:c r="H35" s="1"/>
      <x:c r="I35" s="1"/>
      <x:c r="J35" s="1"/>
      <x:c r="K35" s="1"/>
    </x:row>
    <x:row r="36" ht="22" customHeight="1">
      <x:c r="A36" s="1"/>
      <x:c r="B36" s="1" t="str">
        <x:v>Average paid usage (GB)</x:v>
      </x:c>
      <x:c r="C36" s="25" t="n">
        <x:f>C35*'Assumptions'!C10</x:f>
        <x:v>340</x:v>
      </x:c>
      <x:c r="D36" s="1"/>
      <x:c r="E36" s="1"/>
      <x:c r="F36" s="1"/>
      <x:c r="G36" s="1"/>
      <x:c r="H36" s="1"/>
      <x:c r="I36" s="1"/>
      <x:c r="J36" s="1"/>
      <x:c r="K36" s="1"/>
    </x:row>
    <x:row r="37" ht="22" customHeight="1">
      <x:c r="A37" s="1"/>
      <x:c r="B37" s="1" t="str">
        <x:v>Free storage cost / account</x:v>
      </x:c>
      <x:c r="C37" s="30" t="n">
        <x:f>'Assumptions'!C9*(1+'Assumptions'!C11)*'Assumptions'!C12</x:f>
        <x:v>0.32999999999999996</x:v>
      </x:c>
      <x:c r="D37" s="1"/>
      <x:c r="E37" s="1"/>
      <x:c r="F37" s="1"/>
      <x:c r="G37" s="1"/>
      <x:c r="H37" s="1"/>
      <x:c r="I37" s="1"/>
      <x:c r="J37" s="1"/>
      <x:c r="K37" s="1"/>
    </x:row>
    <x:row r="38" ht="22" customHeight="1">
      <x:c r="A38" s="1"/>
      <x:c r="B38" s="1" t="str">
        <x:v>Paid storage cost / account</x:v>
      </x:c>
      <x:c r="C38" s="30" t="n">
        <x:f>C36*(1+'Assumptions'!C11)*'Assumptions'!C12</x:f>
        <x:v>5.61</x:v>
      </x:c>
      <x:c r="D38" s="1"/>
      <x:c r="E38" s="1"/>
      <x:c r="F38" s="1"/>
      <x:c r="G38" s="1"/>
      <x:c r="H38" s="1"/>
      <x:c r="I38" s="1"/>
      <x:c r="J38" s="1"/>
      <x:c r="K38" s="1"/>
    </x:row>
    <x:row r="39" ht="22" customHeight="1">
      <x:c r="A39" s="1"/>
      <x:c r="B39" s="1" t="str">
        <x:v>All free cost / account</x:v>
      </x:c>
      <x:c r="C39" s="30" t="n">
        <x:f>C37+'Assumptions'!C16</x:f>
        <x:v>0.53</x:v>
      </x:c>
      <x:c r="D39" s="1"/>
      <x:c r="E39" s="1"/>
      <x:c r="F39" s="1"/>
      <x:c r="G39" s="1"/>
      <x:c r="H39" s="1"/>
      <x:c r="I39" s="1"/>
      <x:c r="J39" s="1"/>
      <x:c r="K39" s="1"/>
    </x:row>
    <x:row r="40" ht="22" customHeight="1">
      <x:c r="A40" s="1"/>
      <x:c r="B40" s="1" t="str">
        <x:v>Paid contribution before free subsidy</x:v>
      </x:c>
      <x:c r="C40" s="31" t="n">
        <x:f>C34-C41</x:f>
        <x:v>5.699999999999999</x:v>
      </x:c>
      <x:c r="D40" s="1"/>
      <x:c r="E40" s="1"/>
      <x:c r="F40" s="1"/>
      <x:c r="G40" s="1"/>
      <x:c r="H40" s="1"/>
      <x:c r="I40" s="1"/>
      <x:c r="J40" s="1"/>
      <x:c r="K40" s="1"/>
    </x:row>
    <x:row r="41" ht="22" customHeight="1">
      <x:c r="A41" s="1"/>
      <x:c r="B41" s="1" t="str">
        <x:v>All paid variable cost / account</x:v>
      </x:c>
      <x:c r="C41" s="30" t="n">
        <x:f>C38+'Assumptions'!C17+'Assumptions'!C18+C34*('Assumptions'!C13+'Assumptions'!C15)+'Assumptions'!C14</x:f>
        <x:v>8.3</x:v>
      </x:c>
      <x:c r="D41" s="1"/>
      <x:c r="E41" s="1"/>
      <x:c r="F41" s="1"/>
      <x:c r="G41" s="1"/>
      <x:c r="H41" s="1"/>
      <x:c r="I41" s="1"/>
      <x:c r="J41" s="1"/>
      <x:c r="K41" s="1"/>
    </x:row>
    <x:row r="42" ht="22" customHeight="1">
      <x:c r="A42" s="1"/>
      <x:c r="B42" s="1" t="str">
        <x:v>Net contribution / total account</x:v>
      </x:c>
      <x:c r="C42" s="30" t="n">
        <x:f>'Assumptions'!C8*C40-(1-'Assumptions'!C8)*C39</x:f>
        <x:v>-0.4054</x:v>
      </x:c>
      <x:c r="D42" s="1"/>
      <x:c r="E42" s="1"/>
      <x:c r="F42" s="1"/>
      <x:c r="G42" s="1"/>
      <x:c r="H42" s="1"/>
      <x:c r="I42" s="1"/>
      <x:c r="J42" s="1"/>
      <x:c r="K42" s="1"/>
    </x:row>
    <x:row r="43" ht="22" customHeight="1">
      <x:c r="A43" s="1"/>
      <x:c r="B43" s="1" t="str">
        <x:v>Fixed costs excluding marketing</x:v>
      </x:c>
      <x:c r="C43" s="30" t="n">
        <x:f>'Assumptions'!C19+'Assumptions'!C21</x:f>
        <x:v>700</x:v>
      </x:c>
      <x:c r="D43" s="1"/>
      <x:c r="E43" s="1"/>
      <x:c r="F43" s="1"/>
      <x:c r="G43" s="1"/>
      <x:c r="H43" s="1"/>
      <x:c r="I43" s="1"/>
      <x:c r="J43" s="1"/>
      <x:c r="K43" s="1"/>
    </x:row>
    <x:row r="44" ht="22" customHeight="1">
      <x:c r="A44" s="1"/>
      <x:c r="B44" s="1" t="str">
        <x:v>All fixed costs including marketing</x:v>
      </x:c>
      <x:c r="C44" s="30" t="n">
        <x:f>C43+'Assumptions'!C20</x:f>
        <x:v>1200</x:v>
      </x:c>
      <x:c r="D44" s="1"/>
      <x:c r="E44" s="1"/>
      <x:c r="F44" s="1"/>
      <x:c r="G44" s="1"/>
      <x:c r="H44" s="1"/>
      <x:c r="I44" s="1"/>
      <x:c r="J44" s="1"/>
      <x:c r="K44" s="1"/>
    </x:row>
    <x:row r="45" ht="22" customHeight="1">
      <x:c r="A45" s="1"/>
      <x:c r="B45" s="1" t="str">
        <x:v>Owner share of positive profit</x:v>
      </x:c>
      <x:c r="C45" s="27" t="n">
        <x:f>(1-'Assumptions'!C22)*(1-'Assumptions'!C23)</x:f>
        <x:v>0.63</x:v>
      </x:c>
      <x:c r="D45" s="1"/>
      <x:c r="E45" s="1"/>
      <x:c r="F45" s="1"/>
      <x:c r="G45" s="1"/>
      <x:c r="H45" s="1"/>
      <x:c r="I45" s="1"/>
      <x:c r="J45" s="1"/>
      <x:c r="K45" s="1"/>
    </x:row>
    <x:row r="46" ht="22" customHeight="1">
      <x:c r="A46" s="1"/>
      <x:c r="B46" s="1" t="str">
        <x:v>Required profit for target draw</x:v>
      </x:c>
      <x:c r="C46" s="30" t="n">
        <x:f>IF(C45&gt;0,'Assumptions'!C24/C45,"No draw")</x:f>
        <x:v>3968.253968253968</x:v>
      </x:c>
      <x:c r="D46" s="1"/>
      <x:c r="E46" s="1"/>
      <x:c r="F46" s="1"/>
      <x:c r="G46" s="1"/>
      <x:c r="H46" s="1"/>
      <x:c r="I46" s="1"/>
      <x:c r="J46" s="1"/>
      <x:c r="K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5" customHeight="1">
      <x:c r="A49" s="1"/>
      <x:c r="B49" s="5" t="str">
        <x:v>Plan contribution at 100% storage usage</x:v>
      </x:c>
      <x:c r="C49" s="5"/>
      <x:c r="D49" s="5"/>
      <x:c r="E49" s="5"/>
      <x:c r="F49" s="5"/>
      <x:c r="G49" s="5"/>
      <x:c r="H49" s="5"/>
      <x:c r="I49" s="1"/>
      <x:c r="J49" s="1"/>
      <x:c r="K49" s="1"/>
    </x:row>
    <x:row r="50" ht="33" customHeight="1">
      <x:c r="A50" s="1"/>
      <x:c r="B50" s="28" t="str">
        <x:v>Total GB</x:v>
      </x:c>
      <x:c r="C50" s="28" t="str">
        <x:v>Monthly price</x:v>
      </x:c>
      <x:c r="D50" s="28" t="str">
        <x:v>Storage cost</x:v>
      </x:c>
      <x:c r="E50" s="28" t="str">
        <x:v>Other variable costs</x:v>
      </x:c>
      <x:c r="F50" s="28" t="str">
        <x:v>Contribution</x:v>
      </x:c>
      <x:c r="G50" s="28" t="str">
        <x:v>Break-even used GB</x:v>
      </x:c>
      <x:c r="H50" s="1"/>
      <x:c r="I50" s="1"/>
      <x:c r="J50" s="1"/>
      <x:c r="K50" s="1"/>
    </x:row>
    <x:row r="51" ht="22" customHeight="1">
      <x:c r="A51" s="1"/>
      <x:c r="B51" s="1" t="n">
        <x:f>'Assumptions'!B31</x:f>
        <x:v>500</x:v>
      </x:c>
      <x:c r="C51" s="31" t="n">
        <x:f>'Assumptions'!C31</x:f>
        <x:v>10</x:v>
      </x:c>
      <x:c r="D51" s="31" t="n">
        <x:f>B51*(1+'Assumptions'!$C$11)*'Assumptions'!$C$12</x:f>
        <x:v>8.25</x:v>
      </x:c>
      <x:c r="E51" s="31" t="n">
        <x:f>C51*('Assumptions'!$C$13+'Assumptions'!$C$15)+'Assumptions'!$C$14+'Assumptions'!$C$17+'Assumptions'!$C$18</x:f>
        <x:v>2.45</x:v>
      </x:c>
      <x:c r="F51" s="31" t="n">
        <x:f>C51-D51-E51</x:f>
        <x:v>-0.7000000000000002</x:v>
      </x:c>
      <x:c r="G51" s="32" t="n">
        <x:f>MAX(0,(C51-E51)/((1+'Assumptions'!$C$11)*'Assumptions'!$C$12))</x:f>
        <x:v>457.57575757575756</x:v>
      </x:c>
      <x:c r="H51" s="1"/>
      <x:c r="I51" s="1"/>
      <x:c r="J51" s="1"/>
      <x:c r="K51" s="1"/>
    </x:row>
    <x:row r="52" ht="22" customHeight="1">
      <x:c r="A52" s="1"/>
      <x:c r="B52" s="1" t="n">
        <x:f>'Assumptions'!B32</x:f>
        <x:v>1000</x:v>
      </x:c>
      <x:c r="C52" s="31" t="n">
        <x:f>'Assumptions'!C32</x:f>
        <x:v>20</x:v>
      </x:c>
      <x:c r="D52" s="31" t="n">
        <x:f>B52*(1+'Assumptions'!$C$11)*'Assumptions'!$C$12</x:f>
        <x:v>16.5</x:v>
      </x:c>
      <x:c r="E52" s="31" t="n">
        <x:f>C52*('Assumptions'!$C$13+'Assumptions'!$C$15)+'Assumptions'!$C$14+'Assumptions'!$C$17+'Assumptions'!$C$18</x:f>
        <x:v>3.0500000000000003</x:v>
      </x:c>
      <x:c r="F52" s="31" t="n">
        <x:f>C52-D52-E52</x:f>
        <x:v>0.44999999999999973</x:v>
      </x:c>
      <x:c r="G52" s="32" t="n">
        <x:f>MAX(0,(C52-E52)/((1+'Assumptions'!$C$11)*'Assumptions'!$C$12))</x:f>
        <x:v>1027.2727272727273</x:v>
      </x:c>
      <x:c r="H52" s="1"/>
      <x:c r="I52" s="1"/>
      <x:c r="J52" s="1"/>
      <x:c r="K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2" customHeight="1">
      <x:c r="A56" s="1"/>
      <x:c r="B56" s="1" t="str">
        <x:v>Plan contribution excludes free accounts and fixed costs.</x:v>
      </x:c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2" customHeight="1">
      <x:c r="A57" s="1"/>
      <x:c r="B57" s="1" t="str">
        <x:v>Operating profit excludes founder draw. Owner draw is after illustrative reserves.</x:v>
      </x:c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2" customHeight="1">
      <x:c r="A58" s="1"/>
      <x:c r="B58" s="1" t="str">
        <x:v>Break-even GB excludes free users and fixed costs. Usage above this loses money per paid account.</x:v>
      </x:c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2" customHeight="1">
      <x:c r="A59" s="1"/>
      <x:c r="B59" s="1" t="str">
        <x:v>Review: paid customer mix total</x:v>
      </x:c>
      <x:c r="C59" s="27" t="n">
        <x:f>SUM('Assumptions'!D31:D32)</x:f>
        <x:v>1</x:v>
      </x:c>
      <x:c r="D59" s="1"/>
      <x:c r="E59" s="1"/>
      <x:c r="F59" s="1"/>
      <x:c r="G59" s="1"/>
      <x:c r="H59" s="1"/>
      <x:c r="I59" s="1"/>
      <x:c r="J59" s="1"/>
      <x:c r="K59" s="1"/>
    </x:row>
    <x:row r="60" ht="22" customHeight="1">
      <x:c r="A60" s="1"/>
      <x:c r="B60" s="1" t="str">
        <x:v>Review: accounts reconcile</x:v>
      </x:c>
      <x:c r="C60" s="1" t="n">
        <x:f>C6-C7-C8</x:f>
        <x:v>0</x:v>
      </x:c>
      <x:c r="D60" s="1"/>
      <x:c r="E60" s="1"/>
      <x:c r="F60" s="1"/>
      <x:c r="G60" s="1"/>
      <x:c r="H60" s="1"/>
      <x:c r="I60" s="1"/>
      <x:c r="J60" s="1"/>
      <x:c r="K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5" customHeight="1">
      <x:c r="A63" s="1"/>
      <x:c r="B63" s="5" t="str">
        <x:v>Plan economics at selected usage</x:v>
      </x:c>
      <x:c r="C63" s="5"/>
      <x:c r="D63" s="5"/>
      <x:c r="E63" s="5"/>
      <x:c r="F63" s="5"/>
      <x:c r="G63" s="5"/>
      <x:c r="H63" s="5"/>
      <x:c r="I63" s="1"/>
      <x:c r="J63" s="1"/>
      <x:c r="K63" s="1"/>
    </x:row>
    <x:row r="64" ht="33" customHeight="1">
      <x:c r="A64" s="1"/>
      <x:c r="B64" s="28" t="str">
        <x:v>Total GB</x:v>
      </x:c>
      <x:c r="C64" s="28" t="str">
        <x:v>Monthly price</x:v>
      </x:c>
      <x:c r="D64" s="28" t="str">
        <x:v>Used GB</x:v>
      </x:c>
      <x:c r="E64" s="28" t="str">
        <x:v>Storage cost</x:v>
      </x:c>
      <x:c r="F64" s="28" t="str">
        <x:v>Other variable costs</x:v>
      </x:c>
      <x:c r="G64" s="28" t="str">
        <x:v>Contribution</x:v>
      </x:c>
      <x:c r="H64" s="1"/>
      <x:c r="I64" s="1"/>
      <x:c r="J64" s="1"/>
      <x:c r="K64" s="1"/>
    </x:row>
    <x:row r="65" ht="22" customHeight="1">
      <x:c r="A65" s="1"/>
      <x:c r="B65" s="1" t="n">
        <x:f>'Assumptions'!B31</x:f>
        <x:v>500</x:v>
      </x:c>
      <x:c r="C65" s="31" t="n">
        <x:f>'Assumptions'!C31</x:f>
        <x:v>10</x:v>
      </x:c>
      <x:c r="D65" s="24" t="n">
        <x:f>B65*'Assumptions'!C33</x:f>
        <x:v>300</x:v>
      </x:c>
      <x:c r="E65" s="31" t="n">
        <x:f>D65*(1+'Assumptions'!$C$11)*'Assumptions'!$C$12</x:f>
        <x:v>4.95</x:v>
      </x:c>
      <x:c r="F65" s="31" t="n">
        <x:f>C65*('Assumptions'!$C$13+'Assumptions'!$C$15)+'Assumptions'!$C$14+'Assumptions'!$C$17+'Assumptions'!$C$18</x:f>
        <x:v>2.45</x:v>
      </x:c>
      <x:c r="G65" s="31" t="n">
        <x:f>C65-E65-F65</x:f>
        <x:v>2.5999999999999996</x:v>
      </x:c>
      <x:c r="H65" s="1"/>
      <x:c r="I65" s="1"/>
      <x:c r="J65" s="1"/>
      <x:c r="K65" s="1"/>
    </x:row>
    <x:row r="66" ht="22" customHeight="1">
      <x:c r="A66" s="1"/>
      <x:c r="B66" s="1" t="n">
        <x:f>'Assumptions'!B32</x:f>
        <x:v>1000</x:v>
      </x:c>
      <x:c r="C66" s="31" t="n">
        <x:f>'Assumptions'!C32</x:f>
        <x:v>20</x:v>
      </x:c>
      <x:c r="D66" s="24" t="n">
        <x:f>B66*'Assumptions'!C34</x:f>
        <x:v>400</x:v>
      </x:c>
      <x:c r="E66" s="31" t="n">
        <x:f>D66*(1+'Assumptions'!$C$11)*'Assumptions'!$C$12</x:f>
        <x:v>6.6000000000000005</x:v>
      </x:c>
      <x:c r="F66" s="31" t="n">
        <x:f>C66*('Assumptions'!$C$13+'Assumptions'!$C$15)+'Assumptions'!$C$14+'Assumptions'!$C$17+'Assumptions'!$C$18</x:f>
        <x:v>3.0500000000000003</x:v>
      </x:c>
      <x:c r="G66" s="31" t="n">
        <x:f>C66-E66-F66</x:f>
        <x:v>10.349999999999998</x:v>
      </x:c>
      <x:c r="H66" s="1"/>
      <x:c r="I66" s="1"/>
      <x:c r="J66" s="1"/>
      <x:c r="K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</x:sheetData>
  <x:conditionalFormatting sqref="F27:F32">
    <x:cfRule type="cellIs" dxfId="0" priority="1" operator="lessThan">
      <x:formula>0</x:formula>
    </x:cfRule>
  </x:conditionalFormatting>
  <x:conditionalFormatting sqref="C59:C59">
    <x:cfRule type="cellIs" dxfId="1" priority="2" operator="notEqual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7F9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6" hidden="0" customWidth="1"/>
    <x:col min="4" max="4" width="16" hidden="0" customWidth="1"/>
    <x:col min="5" max="5" width="3" hidden="0" customWidth="1"/>
    <x:col min="6" max="6" width="99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1"/>
      <x:c r="B2" s="2" t="str">
        <x:v>Harbor0 forecast assumptions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3" t="str">
        <x:v>Planning model, 29 September 2026. Blue cells are editable.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/>
      <x:c r="B4" s="1" t="str">
        <x:v>Paid customer mix and plan utilization are separate assumptions.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/>
      <x:c r="B5" s="5" t="str">
        <x:v>Business and usage drivers</x:v>
      </x:c>
      <x:c r="C5" s="5"/>
      <x:c r="D5" s="5"/>
      <x:c r="E5" s="1"/>
      <x:c r="F5" s="1"/>
      <x:c r="G5" s="1"/>
      <x:c r="H5" s="1"/>
      <x:c r="I5" s="1"/>
      <x:c r="J5" s="1"/>
      <x:c r="K5" s="1"/>
    </x:row>
    <x:row r="6" ht="22" customHeight="1">
      <x:c r="A6" s="1"/>
      <x:c r="B6" s="1" t="str">
        <x:v>Assumption</x:v>
      </x:c>
      <x:c r="C6" s="1" t="str">
        <x:v>Value</x:v>
      </x:c>
      <x:c r="D6" s="1" t="str">
        <x:v>Unit</x:v>
      </x:c>
      <x:c r="E6" s="1"/>
      <x:c r="F6" s="1"/>
      <x:c r="G6" s="1"/>
      <x:c r="H6" s="1"/>
      <x:c r="I6" s="1"/>
      <x:c r="J6" s="1"/>
      <x:c r="K6" s="1"/>
    </x:row>
    <x:row r="7" ht="22" customHeight="1">
      <x:c r="A7" s="1"/>
      <x:c r="B7" s="1" t="str">
        <x:v>Accounts in selected month</x:v>
      </x:c>
      <x:c r="C7" s="11" t="n">
        <x:v>1000</x:v>
      </x:c>
      <x:c r="D7" s="1" t="str">
        <x:v>accounts</x:v>
      </x:c>
      <x:c r="E7" s="1"/>
      <x:c r="F7" s="1" t="str">
        <x:v>All free accounts still holding data, plus paying accounts. Not monthly active users.</x:v>
      </x:c>
      <x:c r="G7" s="1"/>
      <x:c r="H7" s="1"/>
      <x:c r="I7" s="1"/>
      <x:c r="J7" s="1"/>
      <x:c r="K7" s="1"/>
    </x:row>
    <x:row r="8" ht="22" customHeight="1">
      <x:c r="A8" s="1"/>
      <x:c r="B8" s="1" t="str">
        <x:v>Paying share of accounts</x:v>
      </x:c>
      <x:c r="C8" s="9" t="n">
        <x:v>0.02</x:v>
      </x:c>
      <x:c r="D8" s="1" t="str">
        <x:v>%</x:v>
      </x:c>
      <x:c r="E8" s="1"/>
      <x:c r="F8" s="1" t="str">
        <x:v>Illustrative installed-base share, not a measured signup conversion rate.</x:v>
      </x:c>
      <x:c r="G8" s="1"/>
      <x:c r="H8" s="1"/>
      <x:c r="I8" s="1"/>
      <x:c r="J8" s="1"/>
      <x:c r="K8" s="1"/>
    </x:row>
    <x:row r="9" ht="22" customHeight="1">
      <x:c r="A9" s="1"/>
      <x:c r="B9" s="1" t="str">
        <x:v>Average free storage</x:v>
      </x:c>
      <x:c r="C9" s="11" t="n">
        <x:v>20</x:v>
      </x:c>
      <x:c r="D9" s="1" t="str">
        <x:v>GB/account</x:v>
      </x:c>
      <x:c r="E9" s="1"/>
      <x:c r="F9" s="1" t="str">
        <x:v>Time-weighted monthly average per free account, including inactive retained data.</x:v>
      </x:c>
      <x:c r="G9" s="1"/>
      <x:c r="H9" s="1"/>
      <x:c r="I9" s="1"/>
      <x:c r="J9" s="1"/>
      <x:c r="K9" s="1"/>
    </x:row>
    <x:row r="10" ht="22" customHeight="1">
      <x:c r="A10" s="1"/>
      <x:c r="B10" s="1" t="str">
        <x:v>Weighted paid capacity utilization</x:v>
      </x:c>
      <x:c r="C10" s="15" t="n">
        <x:f>(B31*D31*C33+B32*D32*C34)/SUMPRODUCT(B31:B32,D31:D32)</x:f>
        <x:v>0.4857142857142857</x:v>
      </x:c>
      <x:c r="D10" s="1" t="str">
        <x:v>%</x:v>
      </x:c>
      <x:c r="E10" s="1"/>
      <x:c r="F10" s="1" t="str">
        <x:v>Calculated from plan mix and the separate usage assumptions in C33:C34.</x:v>
      </x:c>
      <x:c r="G10" s="1"/>
      <x:c r="H10" s="1"/>
      <x:c r="I10" s="1"/>
      <x:c r="J10" s="1"/>
      <x:c r="K10" s="1"/>
    </x:row>
    <x:row r="11" ht="22" customHeight="1">
      <x:c r="A11" s="1"/>
      <x:c r="B11" s="1" t="str">
        <x:v>Additional physical storage</x:v>
      </x:c>
      <x:c r="C11" s="9" t="n">
        <x:v>0.1</x:v>
      </x:c>
      <x:c r="D11" s="1" t="str">
        <x:v>%</x:v>
      </x:c>
      <x:c r="E11" s="1"/>
      <x:c r="F11" s="1" t="str">
        <x:v>Extra temporary ZIPs, staging and overhead. Not an independent backup replica.</x:v>
      </x:c>
      <x:c r="G11" s="1"/>
      <x:c r="H11" s="1"/>
      <x:c r="I11" s="1"/>
      <x:c r="J11" s="1"/>
      <x:c r="K11" s="1"/>
    </x:row>
    <x:row r="12" ht="22" customHeight="1">
      <x:c r="A12" s="1"/>
      <x:c r="B12" s="1" t="str">
        <x:v>R2 standard storage rate</x:v>
      </x:c>
      <x:c r="C12" s="10" t="n">
        <x:v>0.015</x:v>
      </x:c>
      <x:c r="D12" s="1" t="str">
        <x:v>USD/GB-month</x:v>
      </x:c>
      <x:c r="E12" s="1"/>
      <x:c r="F12" s="1" t="str">
        <x:v>Published Cloudflare price. No free-tier credits assumed.</x:v>
      </x:c>
      <x:c r="G12" s="1"/>
      <x:c r="H12" s="1"/>
      <x:c r="I12" s="1"/>
      <x:c r="J12" s="1"/>
      <x:c r="K12" s="1"/>
    </x:row>
    <x:row r="13" ht="22" customHeight="1">
      <x:c r="A13" s="1"/>
      <x:c r="B13" s="1" t="str">
        <x:v>Payment fee percentage</x:v>
      </x:c>
      <x:c r="C13" s="9" t="n">
        <x:v>0.05</x:v>
      </x:c>
      <x:c r="D13" s="1" t="str">
        <x:v>%</x:v>
      </x:c>
      <x:c r="E13" s="1"/>
      <x:c r="F13" s="1" t="str">
        <x:v>Paddle public benchmark. Provider not selected or connected. Web billing only.</x:v>
      </x:c>
      <x:c r="G13" s="1"/>
      <x:c r="H13" s="1"/>
      <x:c r="I13" s="1"/>
      <x:c r="J13" s="1"/>
      <x:c r="K13" s="1"/>
    </x:row>
    <x:row r="14" ht="22" customHeight="1">
      <x:c r="A14" s="1"/>
      <x:c r="B14" s="1" t="str">
        <x:v>Payment fee per transaction</x:v>
      </x:c>
      <x:c r="C14" s="8" t="n">
        <x:v>0.5</x:v>
      </x:c>
      <x:c r="D14" s="1" t="str">
        <x:v>USD/month</x:v>
      </x:c>
      <x:c r="E14" s="1"/>
      <x:c r="F14" s="1" t="str">
        <x:v>One successful monthly transaction per paid account.</x:v>
      </x:c>
      <x:c r="G14" s="1"/>
      <x:c r="H14" s="1"/>
      <x:c r="I14" s="1"/>
      <x:c r="J14" s="1"/>
      <x:c r="K14" s="1"/>
    </x:row>
    <x:row r="15" ht="22" customHeight="1">
      <x:c r="A15" s="1"/>
      <x:c r="B15" s="1" t="str">
        <x:v>Refund / FX / fee contingency</x:v>
      </x:c>
      <x:c r="C15" s="9" t="n">
        <x:v>0.01</x:v>
      </x:c>
      <x:c r="D15" s="1" t="str">
        <x:v>% of revenue</x:v>
      </x:c>
      <x:c r="E15" s="1"/>
      <x:c r="F15" s="1" t="str">
        <x:v>Planning allowance, not a vendor quote.</x:v>
      </x:c>
      <x:c r="G15" s="1"/>
      <x:c r="H15" s="1"/>
      <x:c r="I15" s="1"/>
      <x:c r="J15" s="1"/>
      <x:c r="K15" s="1"/>
    </x:row>
    <x:row r="16" ht="22" customHeight="1">
      <x:c r="A16" s="1"/>
      <x:c r="B16" s="1" t="str">
        <x:v>Free nonstorage infrastructure</x:v>
      </x:c>
      <x:c r="C16" s="8" t="n">
        <x:v>0.2</x:v>
      </x:c>
      <x:c r="D16" s="1" t="str">
        <x:v>USD/account</x:v>
      </x:c>
      <x:c r="E16" s="1"/>
      <x:c r="F16" s="1" t="str">
        <x:v>Allowance for AWS, R2 requests, email and logs. Must be load-tested.</x:v>
      </x:c>
      <x:c r="G16" s="1"/>
      <x:c r="H16" s="1"/>
      <x:c r="I16" s="1"/>
      <x:c r="J16" s="1"/>
      <x:c r="K16" s="1"/>
    </x:row>
    <x:row r="17" ht="22" customHeight="1">
      <x:c r="A17" s="1"/>
      <x:c r="B17" s="1" t="str">
        <x:v>Paid nonstorage infrastructure</x:v>
      </x:c>
      <x:c r="C17" s="8" t="n">
        <x:v>0.6</x:v>
      </x:c>
      <x:c r="D17" s="1" t="str">
        <x:v>USD/account</x:v>
      </x:c>
      <x:c r="E17" s="1"/>
      <x:c r="F17" s="1" t="str">
        <x:v>Allowance for AWS, R2 requests, ZIP work, email and logs. Must be load-tested.</x:v>
      </x:c>
      <x:c r="G17" s="1"/>
      <x:c r="H17" s="1"/>
      <x:c r="I17" s="1"/>
      <x:c r="J17" s="1"/>
      <x:c r="K17" s="1"/>
    </x:row>
    <x:row r="18" ht="22" customHeight="1">
      <x:c r="A18" s="1"/>
      <x:c r="B18" s="1" t="str">
        <x:v>Paid customer support allowance</x:v>
      </x:c>
      <x:c r="C18" s="8" t="n">
        <x:v>0.75</x:v>
      </x:c>
      <x:c r="D18" s="1" t="str">
        <x:v>USD/account</x:v>
      </x:c>
      <x:c r="E18" s="1"/>
      <x:c r="F18" s="1" t="str">
        <x:v>Variable cash provision for help. Founder time is paid from owner draw.</x:v>
      </x:c>
      <x:c r="G18" s="1"/>
      <x:c r="H18" s="1"/>
      <x:c r="I18" s="1"/>
      <x:c r="J18" s="1"/>
      <x:c r="K18" s="1"/>
    </x:row>
    <x:row r="19" ht="22" customHeight="1">
      <x:c r="A19" s="1"/>
      <x:c r="B19" s="1" t="str">
        <x:v>Fixed tools, admin and base hosting</x:v>
      </x:c>
      <x:c r="C19" s="8" t="n">
        <x:v>300</x:v>
      </x:c>
      <x:c r="D19" s="1" t="str">
        <x:v>USD/month</x:v>
      </x:c>
      <x:c r="E19" s="1"/>
      <x:c r="F19" s="1" t="str">
        <x:v>Planning allowance.</x:v>
      </x:c>
      <x:c r="G19" s="1"/>
      <x:c r="H19" s="1"/>
      <x:c r="I19" s="1"/>
      <x:c r="J19" s="1"/>
      <x:c r="K19" s="1"/>
    </x:row>
    <x:row r="20" ht="22" customHeight="1">
      <x:c r="A20" s="1"/>
      <x:c r="B20" s="1" t="str">
        <x:v>Marketing cash budget</x:v>
      </x:c>
      <x:c r="C20" s="8" t="n">
        <x:v>500</x:v>
      </x:c>
      <x:c r="D20" s="1" t="str">
        <x:v>USD/month</x:v>
      </x:c>
      <x:c r="E20" s="1"/>
      <x:c r="F20" s="1" t="str">
        <x:v>Small organic-led launch budget. Does not imply this buys the forecast user count.</x:v>
      </x:c>
      <x:c r="G20" s="1"/>
      <x:c r="H20" s="1"/>
      <x:c r="I20" s="1"/>
      <x:c r="J20" s="1"/>
      <x:c r="K20" s="1"/>
    </x:row>
    <x:row r="21" ht="22" customHeight="1">
      <x:c r="A21" s="1"/>
      <x:c r="B21" s="1" t="str">
        <x:v>Other monthly operating contingency</x:v>
      </x:c>
      <x:c r="C21" s="8" t="n">
        <x:v>400</x:v>
      </x:c>
      <x:c r="D21" s="1" t="str">
        <x:v>USD/month</x:v>
      </x:c>
      <x:c r="E21" s="1"/>
      <x:c r="F21" s="1" t="str">
        <x:v>Accounting, incidents and periodic specialist help.</x:v>
      </x:c>
      <x:c r="G21" s="1"/>
      <x:c r="H21" s="1"/>
      <x:c r="I21" s="1"/>
      <x:c r="J21" s="1"/>
      <x:c r="K21" s="1"/>
    </x:row>
    <x:row r="22" ht="22" customHeight="1">
      <x:c r="A22" s="1"/>
      <x:c r="B22" s="1" t="str">
        <x:v>Tax reserve</x:v>
      </x:c>
      <x:c r="C22" s="9" t="n">
        <x:v>0.3</x:v>
      </x:c>
      <x:c r="D22" s="1" t="str">
        <x:v>% of positive profit</x:v>
      </x:c>
      <x:c r="E22" s="1"/>
      <x:c r="F22" s="1" t="str">
        <x:v>Cash planning haircut, not an Indian tax calculation or statutory rate.</x:v>
      </x:c>
      <x:c r="G22" s="1"/>
      <x:c r="H22" s="1"/>
      <x:c r="I22" s="1"/>
      <x:c r="J22" s="1"/>
      <x:c r="K22" s="1"/>
    </x:row>
    <x:row r="23" ht="22" customHeight="1">
      <x:c r="A23" s="1"/>
      <x:c r="B23" s="1" t="str">
        <x:v>Business retention after tax reserve</x:v>
      </x:c>
      <x:c r="C23" s="9" t="n">
        <x:v>0.1</x:v>
      </x:c>
      <x:c r="D23" s="1" t="str">
        <x:v>%</x:v>
      </x:c>
      <x:c r="E23" s="1"/>
      <x:c r="F23" s="1" t="str">
        <x:v>Kept inside the business after the illustrative tax reserve.</x:v>
      </x:c>
      <x:c r="G23" s="1"/>
      <x:c r="H23" s="1"/>
      <x:c r="I23" s="1"/>
      <x:c r="J23" s="1"/>
      <x:c r="K23" s="1"/>
    </x:row>
    <x:row r="24" ht="22" customHeight="1">
      <x:c r="A24" s="1"/>
      <x:c r="B24" s="1" t="str">
        <x:v>Desired owner draw</x:v>
      </x:c>
      <x:c r="C24" s="11" t="n">
        <x:v>2500</x:v>
      </x:c>
      <x:c r="D24" s="1" t="str">
        <x:v>USD/month</x:v>
      </x:c>
      <x:c r="E24" s="1"/>
      <x:c r="F24" s="1" t="str">
        <x:v>Desired spendable draw after the model reserves.</x:v>
      </x:c>
      <x:c r="G24" s="1"/>
      <x:c r="H24" s="1"/>
      <x:c r="I24" s="1"/>
      <x:c r="J24" s="1"/>
      <x:c r="K24" s="1"/>
    </x:row>
    <x:row r="25" ht="22" customHeight="1">
      <x:c r="A25" s="1"/>
      <x:c r="B25" s="1" t="str">
        <x:v>Planning USD to INR rate</x:v>
      </x:c>
      <x:c r="C25" s="11" t="n">
        <x:v>96</x:v>
      </x:c>
      <x:c r="D25" s="1" t="str">
        <x:v>INR/USD</x:v>
      </x:c>
      <x:c r="E25" s="1"/>
      <x:c r="F25" s="1" t="str">
        <x:v>Rounded from approximately INR 95.98 on 29 September 2026.</x:v>
      </x:c>
      <x:c r="G25" s="1"/>
      <x:c r="H25" s="1"/>
      <x:c r="I25" s="1"/>
      <x:c r="J25" s="1"/>
      <x:c r="K25" s="1"/>
    </x:row>
    <x:row r="26" ht="22" customHeight="1">
      <x:c r="A26" s="1"/>
      <x:c r="B26" s="1" t="str">
        <x:v>Runway months</x:v>
      </x:c>
      <x:c r="C26" s="11" t="n">
        <x:v>6</x:v>
      </x:c>
      <x:c r="D26" s="1" t="str">
        <x:v>months</x:v>
      </x:c>
      <x:c r="E26" s="1"/>
      <x:c r="F26" s="1" t="str">
        <x:v>Cash target covering operating costs plus the desired owner draw.</x:v>
      </x:c>
      <x:c r="G26" s="1"/>
      <x:c r="H26" s="1"/>
      <x:c r="I26" s="1"/>
      <x:c r="J26" s="1"/>
      <x:c r="K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5" customHeight="1">
      <x:c r="A29" s="1"/>
      <x:c r="B29" s="5" t="str">
        <x:v>Proposed monthly plans</x:v>
      </x:c>
      <x:c r="C29" s="5"/>
      <x:c r="D29" s="5"/>
      <x:c r="E29" s="1"/>
      <x:c r="F29" s="1"/>
      <x:c r="G29" s="1"/>
      <x:c r="H29" s="1"/>
      <x:c r="I29" s="1"/>
      <x:c r="J29" s="1"/>
      <x:c r="K29" s="1"/>
    </x:row>
    <x:row r="30" ht="22" customHeight="1">
      <x:c r="A30" s="1"/>
      <x:c r="B30" s="1" t="str">
        <x:v>Total capacity (GB)</x:v>
      </x:c>
      <x:c r="C30" s="1" t="str">
        <x:v>Price (USD)</x:v>
      </x:c>
      <x:c r="D30" s="1" t="str">
        <x:v>Paid customer mix</x:v>
      </x:c>
      <x:c r="E30" s="1"/>
      <x:c r="F30" s="1"/>
      <x:c r="G30" s="1"/>
      <x:c r="H30" s="1"/>
      <x:c r="I30" s="1"/>
      <x:c r="J30" s="1"/>
      <x:c r="K30" s="1"/>
    </x:row>
    <x:row r="31" ht="22" customHeight="1">
      <x:c r="A31" s="1"/>
      <x:c r="B31" s="7" t="n">
        <x:v>500</x:v>
      </x:c>
      <x:c r="C31" s="12" t="n">
        <x:v>10</x:v>
      </x:c>
      <x:c r="D31" s="13" t="n">
        <x:v>0.6</x:v>
      </x:c>
      <x:c r="E31" s="1"/>
      <x:c r="F31" s="1" t="str">
        <x:v>Capacity includes the original 100 GB. 1 TB = 1,000 GB.</x:v>
      </x:c>
      <x:c r="G31" s="1"/>
      <x:c r="H31" s="1"/>
      <x:c r="I31" s="1"/>
      <x:c r="J31" s="1"/>
      <x:c r="K31" s="1"/>
    </x:row>
    <x:row r="32" ht="22" customHeight="1">
      <x:c r="A32" s="1"/>
      <x:c r="B32" s="7" t="n">
        <x:v>1000</x:v>
      </x:c>
      <x:c r="C32" s="12" t="n">
        <x:v>20</x:v>
      </x:c>
      <x:c r="D32" s="13" t="n">
        <x:v>0.4</x:v>
      </x:c>
      <x:c r="E32" s="1"/>
      <x:c r="F32" s="1" t="str">
        <x:v>Prices exclude sales tax. No annual discounts, app-store commissions or new paid features assumed.</x:v>
      </x:c>
      <x:c r="G32" s="1"/>
      <x:c r="H32" s="1"/>
      <x:c r="I32" s="1"/>
      <x:c r="J32" s="1"/>
      <x:c r="K32" s="1"/>
    </x:row>
    <x:row r="33" ht="22" customHeight="1">
      <x:c r="A33" s="1"/>
      <x:c r="B33" s="1" t="str">
        <x:v>500 GB plan utilization</x:v>
      </x:c>
      <x:c r="C33" s="9" t="n">
        <x:v>0.6</x:v>
      </x:c>
      <x:c r="D33" s="1" t="str">
        <x:v>%</x:v>
      </x:c>
      <x:c r="E33" s="1"/>
      <x:c r="F33" s="1" t="str">
        <x:v>User assumption: the average 500 GB customer stores 300 GB.</x:v>
      </x:c>
      <x:c r="G33" s="1"/>
      <x:c r="H33" s="1"/>
      <x:c r="I33" s="1"/>
      <x:c r="J33" s="1"/>
      <x:c r="K33" s="1"/>
    </x:row>
    <x:row r="34" ht="22" customHeight="1">
      <x:c r="A34" s="1"/>
      <x:c r="B34" s="1" t="str">
        <x:v>1 TB plan utilization</x:v>
      </x:c>
      <x:c r="C34" s="9" t="n">
        <x:v>0.4</x:v>
      </x:c>
      <x:c r="D34" s="1" t="str">
        <x:v>%</x:v>
      </x:c>
      <x:c r="E34" s="1"/>
      <x:c r="F34" s="1" t="str">
        <x:v>User assumption: the average 1 TB customer stores 400 GB.</x:v>
      </x:c>
      <x:c r="G34" s="1"/>
      <x:c r="H34" s="1"/>
      <x:c r="I34" s="1"/>
      <x:c r="J34" s="1"/>
      <x:c r="K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5" customHeight="1">
      <x:c r="A37" s="1"/>
      <x:c r="B37" s="5" t="str">
        <x:v>Sources and scope</x:v>
      </x:c>
      <x:c r="C37" s="5"/>
      <x:c r="D37" s="5"/>
      <x:c r="E37" s="1"/>
      <x:c r="F37" s="1"/>
      <x:c r="G37" s="1"/>
      <x:c r="H37" s="1"/>
      <x:c r="I37" s="1"/>
      <x:c r="J37" s="1"/>
      <x:c r="K37" s="1"/>
    </x:row>
    <x:row r="38" ht="22" customHeight="1">
      <x:c r="A38" s="1"/>
      <x:c r="B38" s="1" t="str">
        <x:v>R2 storage and requests</x:v>
      </x:c>
      <x:c r="C38" s="1"/>
      <x:c r="D38" s="1"/>
      <x:c r="E38" s="1"/>
      <x:c r="F38" s="1" t="str">
        <x:v>https://developers.cloudflare.com/r2/pricing/</x:v>
      </x:c>
      <x:c r="G38" s="1"/>
      <x:c r="H38" s="1"/>
      <x:c r="I38" s="1"/>
      <x:c r="J38" s="1"/>
      <x:c r="K38" s="1"/>
    </x:row>
    <x:row r="39" ht="22" customHeight="1">
      <x:c r="A39" s="1"/>
      <x:c r="B39" s="1" t="str">
        <x:v>Paddle payment benchmark</x:v>
      </x:c>
      <x:c r="C39" s="1"/>
      <x:c r="D39" s="1"/>
      <x:c r="E39" s="1"/>
      <x:c r="F39" s="1" t="str">
        <x:v>https://www.paddle.com/pricing</x:v>
      </x:c>
      <x:c r="G39" s="1"/>
      <x:c r="H39" s="1"/>
      <x:c r="I39" s="1"/>
      <x:c r="J39" s="1"/>
      <x:c r="K39" s="1"/>
    </x:row>
    <x:row r="40" ht="22" customHeight="1">
      <x:c r="A40" s="1"/>
      <x:c r="B40" s="1" t="str">
        <x:v>USD / INR reference</x:v>
      </x:c>
      <x:c r="C40" s="1"/>
      <x:c r="D40" s="1"/>
      <x:c r="E40" s="1"/>
      <x:c r="F40" s="1" t="str">
        <x:v>https://wise.com/us/currency-converter/usd-to-inr-rate/history/29-09-2026</x:v>
      </x:c>
      <x:c r="G40" s="1"/>
      <x:c r="H40" s="1"/>
      <x:c r="I40" s="1"/>
      <x:c r="J40" s="1"/>
      <x:c r="K40" s="1"/>
    </x:row>
    <x:row r="41" ht="22" customHeight="1">
      <x:c r="A41" s="1"/>
      <x:c r="B41" s="1" t="str">
        <x:v>Product architecture</x:v>
      </x:c>
      <x:c r="C41" s="1"/>
      <x:c r="D41" s="1"/>
      <x:c r="E41" s="1"/>
      <x:c r="F41" s="1" t="str">
        <x:v>Harbor0 README and architecture: private R2, AWS metadata/auth/API, 100 GB free.</x:v>
      </x:c>
      <x:c r="G41" s="1"/>
      <x:c r="H41" s="1"/>
      <x:c r="I41" s="1"/>
      <x:c r="J41" s="1"/>
      <x:c r="K41" s="1"/>
    </x:row>
    <x:row r="42" ht="22" customHeight="1">
      <x:c r="A42" s="1"/>
      <x:c r="B42" s="1" t="str">
        <x:v>Storage basis</x:v>
      </x:c>
      <x:c r="C42" s="1"/>
      <x:c r="D42" s="1"/>
      <x:c r="E42" s="1"/>
      <x:c r="F42" s="1" t="str">
        <x:v>Billable GB-month is approximated by account count × average GB × physical overhead.</x:v>
      </x:c>
      <x:c r="G42" s="1"/>
      <x:c r="H42" s="1"/>
      <x:c r="I42" s="1"/>
      <x:c r="J42" s="1"/>
      <x:c r="K42" s="1"/>
    </x:row>
    <x:row r="43" ht="22" customHeight="1">
      <x:c r="A43" s="1"/>
      <x:c r="B43" s="1" t="str">
        <x:v>Traffic basis</x:v>
      </x:c>
      <x:c r="C43" s="1"/>
      <x:c r="D43" s="1"/>
      <x:c r="E43" s="1"/>
      <x:c r="F43" s="1" t="str">
        <x:v>R2 direct egress is free. Request and AWS processing costs are included in the per-account allowance.</x:v>
      </x:c>
      <x:c r="G43" s="1"/>
      <x:c r="H43" s="1"/>
      <x:c r="I43" s="1"/>
      <x:c r="J43" s="1"/>
      <x:c r="K43" s="1"/>
    </x:row>
    <x:row r="44" ht="22" customHeight="1">
      <x:c r="A44" s="1"/>
      <x:c r="B44" s="1" t="str">
        <x:v>Model limitations</x:v>
      </x:c>
      <x:c r="C44" s="1"/>
      <x:c r="D44" s="1"/>
      <x:c r="E44" s="1"/>
      <x:c r="F44" s="1" t="str">
        <x:v>No actual invoices, customer cohorts, usage distribution, CAC or churn data were supplied.</x:v>
      </x:c>
      <x:c r="G44" s="1"/>
      <x:c r="H44" s="1"/>
      <x:c r="I44" s="1"/>
      <x:c r="J44" s="1"/>
      <x:c r="K44" s="1"/>
    </x:row>
    <x:row r="45" ht="22" customHeight="1">
      <x:c r="A45" s="1"/>
      <x:c r="B45" s="1" t="str">
        <x:v>Acquisition and timing</x:v>
      </x:c>
      <x:c r="C45" s="1"/>
      <x:c r="D45" s="1"/>
      <x:c r="E45" s="1"/>
      <x:c r="F45" s="1" t="str">
        <x:v>Scale scenarios, not a dated growth prediction. Churn affects how long it takes to reach each scale.</x:v>
      </x:c>
      <x:c r="G45" s="1"/>
      <x:c r="H45" s="1"/>
      <x:c r="I45" s="1"/>
      <x:c r="J45" s="1"/>
      <x:c r="K45" s="1"/>
    </x:row>
    <x:row r="46" ht="22" customHeight="1">
      <x:c r="A46" s="1"/>
      <x:c r="B46" s="1" t="str">
        <x:v>Accounting scope</x:v>
      </x:c>
      <x:c r="C46" s="1"/>
      <x:c r="D46" s="1"/>
      <x:c r="E46" s="1"/>
      <x:c r="F46" s="1" t="str">
        <x:v>Monthly subscriptions and recurring cash costs. No debt, capex, setup costs or second storage replica.</x:v>
      </x:c>
      <x:c r="G46" s="1"/>
      <x:c r="H46" s="1"/>
      <x:c r="I46" s="1"/>
      <x:c r="J46" s="1"/>
      <x:c r="K46" s="1"/>
    </x:row>
    <x:row r="47" ht="22" customHeight="1">
      <x:c r="A47" s="1"/>
      <x:c r="B47" s="1" t="str">
        <x:v>Tax scope</x:v>
      </x:c>
      <x:c r="C47" s="1"/>
      <x:c r="D47" s="1"/>
      <x:c r="E47" s="1"/>
      <x:c r="F47" s="1" t="str">
        <x:v>Revenue excludes customer sales tax. Input GST recovery and actual founder/entity tax are not modelled.</x:v>
      </x:c>
      <x:c r="G47" s="1"/>
      <x:c r="H47" s="1"/>
      <x:c r="I47" s="1"/>
      <x:c r="J47" s="1"/>
      <x:c r="K47" s="1"/>
    </x:row>
    <x:row r="48" ht="22" customHeight="1">
      <x:c r="A48" s="1"/>
      <x:c r="B48" s="1" t="str">
        <x:v>Cost scaling</x:v>
      </x:c>
      <x:c r="C48" s="1"/>
      <x:c r="D48" s="1"/>
      <x:c r="E48" s="1"/>
      <x:c r="F48" s="1" t="str">
        <x:v>Per-account allowances scale with users. Fixed costs stay flat and may need step-ups at larger scale.</x:v>
      </x:c>
      <x:c r="G48" s="1"/>
      <x:c r="H48" s="1"/>
      <x:c r="I48" s="1"/>
      <x:c r="J48" s="1"/>
      <x:c r="K48" s="1"/>
    </x:row>
    <x:row r="49" ht="22" customHeight="1">
      <x:c r="A49" s="1"/>
      <x:c r="B49" s="1" t="str">
        <x:v>Unit economics</x:v>
      </x:c>
      <x:c r="C49" s="1"/>
      <x:c r="D49" s="1"/>
      <x:c r="E49" s="1"/>
      <x:c r="F49" s="1" t="str">
        <x:v>Paid plan contribution excludes free-user subsidies and fixed costs; business profit includes both.</x:v>
      </x:c>
      <x:c r="G49" s="1"/>
      <x:c r="H49" s="1"/>
      <x:c r="I49" s="1"/>
      <x:c r="J49" s="1"/>
      <x:c r="K49" s="1"/>
    </x:row>
    <x:row r="50" ht="22" customHeight="1">
      <x:c r="A50" s="1"/>
      <x:c r="B50" s="1" t="str">
        <x:v>Sync limitation</x:v>
      </x:c>
      <x:c r="C50" s="1"/>
      <x:c r="D50" s="1"/>
      <x:c r="E50" s="1"/>
      <x:c r="F50" s="1" t="str">
        <x:v>Released temporary sync bytes may generate usage without persistent storage upgrades.</x:v>
      </x:c>
      <x:c r="G50" s="1"/>
      <x:c r="H50" s="1"/>
      <x:c r="I50" s="1"/>
      <x:c r="J50" s="1"/>
      <x:c r="K50" s="1"/>
    </x:row>
    <x:row r="51" ht="22" customHeight="1">
      <x:c r="A51" s="1"/>
      <x:c r="B51" s="1" t="str">
        <x:v>Launch limitation</x:v>
      </x:c>
      <x:c r="C51" s="1"/>
      <x:c r="D51" s="1"/>
      <x:c r="E51" s="1"/>
      <x:c r="F51" s="1" t="str">
        <x:v>Checkout/provider/webhook integration is not yet connected in the repository.</x:v>
      </x:c>
      <x:c r="G51" s="1"/>
      <x:c r="H51" s="1"/>
      <x:c r="I51" s="1"/>
      <x:c r="J51" s="1"/>
      <x:c r="K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2" customHeight="1">
      <x:c r="A54" s="1"/>
      <x:c r="B54" s="1" t="str">
        <x:v>Plan mix assumption</x:v>
      </x:c>
      <x:c r="C54" s="1"/>
      <x:c r="D54" s="1"/>
      <x:c r="E54" s="1"/>
      <x:c r="F54" s="1" t="str">
        <x:v>60% of paying customers on 500 GB and 40% on 1 TB, carried forward separately from usage.</x:v>
      </x:c>
      <x:c r="G54" s="1"/>
      <x:c r="H54" s="1"/>
      <x:c r="I54" s="1"/>
      <x:c r="J54" s="1"/>
      <x:c r="K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2" customHeight="1">
      <x:c r="A59" s="1"/>
      <x:c r="B59" s="1" t="str">
        <x:v>Lower-cost storage reference</x:v>
      </x:c>
      <x:c r="C59" s="1"/>
      <x:c r="D59" s="1"/>
      <x:c r="E59" s="1"/>
      <x:c r="F59" s="1" t="str">
        <x:v>Backblaze B2: $0.00695/GB-month; https://www.backblaze.com/cloud-storage/pricing</x:v>
      </x:c>
      <x:c r="G59" s="1"/>
      <x:c r="H59" s="1"/>
      <x:c r="I59" s="1"/>
      <x:c r="J59" s="1"/>
      <x:c r="K59" s="1"/>
    </x:row>
    <x:row r="60" ht="22" customHeight="1">
      <x:c r="A60" s="1"/>
      <x:c r="B60" s="1"/>
      <x:c r="C60" s="1"/>
      <x:c r="D60" s="1"/>
      <x:c r="E60" s="1"/>
      <x:c r="F60" s="1" t="str">
        <x:v>B2 egress beyond 3x average storage is $0.01/GB unless qualifying partner routing applies.</x:v>
      </x:c>
      <x:c r="G60" s="1"/>
      <x:c r="H60" s="1"/>
      <x:c r="I60" s="1"/>
      <x:c r="J60" s="1"/>
      <x:c r="K60" s="1"/>
    </x:row>
    <x:row r="61" ht="22" customHeight="1">
      <x:c r="A61" s="1"/>
      <x:c r="B61" s="1"/>
      <x:c r="C61" s="1"/>
      <x:c r="D61" s="1"/>
      <x:c r="E61" s="1"/>
      <x:c r="F61" s="1" t="str">
        <x:v>Changing C12 alone tests storage price only. Other-provider egress/migration costs are not included.</x:v>
      </x:c>
      <x:c r="G61" s="1"/>
      <x:c r="H61" s="1"/>
      <x:c r="I61" s="1"/>
      <x:c r="J61" s="1"/>
      <x:c r="K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</x:sheetData>
  <x:dataValidations count="9">
    <x:dataValidation type="decimal" operator="between" sqref="C8">
      <x:formula1>0</x:formula1>
      <x:formula2>1</x:formula2>
    </x:dataValidation>
    <x:dataValidation type="decimal" operator="between" sqref="C11">
      <x:formula1>0</x:formula1>
      <x:formula2>1</x:formula2>
    </x:dataValidation>
    <x:dataValidation type="decimal" operator="between" sqref="C13">
      <x:formula1>0</x:formula1>
      <x:formula2>1</x:formula2>
    </x:dataValidation>
    <x:dataValidation type="decimal" operator="between" sqref="C15">
      <x:formula1>0</x:formula1>
      <x:formula2>1</x:formula2>
    </x:dataValidation>
    <x:dataValidation type="decimal" operator="between" sqref="C22">
      <x:formula1>0</x:formula1>
      <x:formula2>1</x:formula2>
    </x:dataValidation>
    <x:dataValidation type="decimal" operator="between" sqref="C23">
      <x:formula1>0</x:formula1>
      <x:formula2>1</x:formula2>
    </x:dataValidation>
    <x:dataValidation type="decimal" operator="between" sqref="C33">
      <x:formula1>0</x:formula1>
      <x:formula2>1</x:formula2>
    </x:dataValidation>
    <x:dataValidation type="decimal" operator="between" sqref="C34">
      <x:formula1>0</x:formula1>
      <x:formula2>1</x:formula2>
    </x:dataValidation>
    <x:dataValidation type="decimal" operator="between" sqref="C9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16" hidden="0" customWidth="1"/>
    <x:col min="4" max="4" width="16" hidden="0" customWidth="1"/>
    <x:col min="5" max="5" width="55" hidden="0" customWidth="1"/>
    <x:col min="6" max="6" width="3" hidden="0" customWidth="1"/>
    <x:col min="7" max="7" width="9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1"/>
      <x:c r="B2" s="2" t="str">
        <x:v>Consumer storage price comparison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1" t="str">
        <x:v>US dollar monthly billing, checked 29 September 2026. Local prices and taxes vary.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/>
      <x:c r="B5" s="5" t="str">
        <x:v>Provider and advertised capacity</x:v>
      </x:c>
      <x:c r="C5" s="5"/>
      <x:c r="D5" s="5"/>
      <x:c r="E5" s="5"/>
      <x:c r="F5" s="5"/>
      <x:c r="G5" s="5"/>
      <x:c r="H5" s="1"/>
      <x:c r="I5" s="1"/>
      <x:c r="J5" s="1"/>
      <x:c r="K5" s="1"/>
    </x:row>
    <x:row r="6" ht="22" customHeight="1">
      <x:c r="A6" s="1"/>
      <x:c r="B6" s="20" t="str">
        <x:v>Provider / plan</x:v>
      </x:c>
      <x:c r="C6" s="20" t="str">
        <x:v>Capacity (GB)</x:v>
      </x:c>
      <x:c r="D6" s="20" t="str">
        <x:v>USD / month</x:v>
      </x:c>
      <x:c r="E6" s="20" t="str">
        <x:v>Context</x:v>
      </x:c>
      <x:c r="F6" s="1"/>
      <x:c r="G6" s="1" t="str">
        <x:v>Source</x:v>
      </x:c>
      <x:c r="H6" s="1"/>
      <x:c r="I6" s="1"/>
      <x:c r="J6" s="1"/>
      <x:c r="K6" s="1"/>
    </x:row>
    <x:row r="7" ht="22" customHeight="1">
      <x:c r="A7" s="1"/>
      <x:c r="B7" s="20" t="str">
        <x:v>Harbor0 500 GB</x:v>
      </x:c>
      <x:c r="C7" s="24" t="n">
        <x:v>500</x:v>
      </x:c>
      <x:c r="D7" s="33" t="n">
        <x:v>10</x:v>
      </x:c>
      <x:c r="E7" s="1" t="str">
        <x:v>Proposed monthly plan</x:v>
      </x:c>
      <x:c r="F7" s="1"/>
      <x:c r="G7" s="1" t="str">
        <x:v>User proposed price</x:v>
      </x:c>
      <x:c r="H7" s="1"/>
      <x:c r="I7" s="1"/>
      <x:c r="J7" s="1"/>
      <x:c r="K7" s="1"/>
    </x:row>
    <x:row r="8" ht="22" customHeight="1">
      <x:c r="A8" s="1"/>
      <x:c r="B8" s="20" t="str">
        <x:v>Harbor0 1 TB</x:v>
      </x:c>
      <x:c r="C8" s="24" t="n">
        <x:v>1000</x:v>
      </x:c>
      <x:c r="D8" s="33" t="n">
        <x:v>20</x:v>
      </x:c>
      <x:c r="E8" s="1" t="str">
        <x:v>Proposed monthly plan</x:v>
      </x:c>
      <x:c r="F8" s="1"/>
      <x:c r="G8" s="1" t="str">
        <x:v>User proposed price</x:v>
      </x:c>
      <x:c r="H8" s="1"/>
      <x:c r="I8" s="1"/>
      <x:c r="J8" s="1"/>
      <x:c r="K8" s="1"/>
    </x:row>
    <x:row r="9" ht="22" customHeight="1">
      <x:c r="A9" s="1"/>
      <x:c r="B9" s="1" t="str">
        <x:v>Google One</x:v>
      </x:c>
      <x:c r="C9" s="24" t="n">
        <x:v>2000</x:v>
      </x:c>
      <x:c r="D9" s="33" t="n">
        <x:v>9.99</x:v>
      </x:c>
      <x:c r="E9" s="1" t="str">
        <x:v>Shared storage across Drive, Gmail and Photos</x:v>
      </x:c>
      <x:c r="F9" s="1"/>
      <x:c r="G9" s="1" t="str">
        <x:v>https://one.google.com/about/plans</x:v>
      </x:c>
      <x:c r="H9" s="1"/>
      <x:c r="I9" s="1"/>
      <x:c r="J9" s="1"/>
      <x:c r="K9" s="1"/>
    </x:row>
    <x:row r="10" ht="22" customHeight="1">
      <x:c r="A10" s="1"/>
      <x:c r="B10" s="1" t="str">
        <x:v>Apple iCloud+</x:v>
      </x:c>
      <x:c r="C10" s="24" t="n">
        <x:v>2000</x:v>
      </x:c>
      <x:c r="D10" s="33" t="n">
        <x:v>9.99</x:v>
      </x:c>
      <x:c r="E10" s="1" t="str">
        <x:v>Apple ecosystem; family sharing</x:v>
      </x:c>
      <x:c r="F10" s="1"/>
      <x:c r="G10" s="1" t="str">
        <x:v>https://www.apple.com/icloud/</x:v>
      </x:c>
      <x:c r="H10" s="1"/>
      <x:c r="I10" s="1"/>
      <x:c r="J10" s="1"/>
      <x:c r="K10" s="1"/>
    </x:row>
    <x:row r="11" ht="22" customHeight="1">
      <x:c r="A11" s="1"/>
      <x:c r="B11" s="1" t="str">
        <x:v>Dropbox Plus</x:v>
      </x:c>
      <x:c r="C11" s="24" t="n">
        <x:v>2000</x:v>
      </x:c>
      <x:c r="D11" s="33" t="n">
        <x:v>11.99</x:v>
      </x:c>
      <x:c r="E11" s="1" t="str">
        <x:v>Monthly price; annual billing advertises $9.99/month</x:v>
      </x:c>
      <x:c r="F11" s="1"/>
      <x:c r="G11" s="1" t="str">
        <x:v>https://www.dropbox.com/plans?billing=monthly</x:v>
      </x:c>
      <x:c r="H11" s="1"/>
      <x:c r="I11" s="1"/>
      <x:c r="J11" s="1"/>
      <x:c r="K11" s="1"/>
    </x:row>
    <x:row r="12" ht="22" customHeight="1">
      <x:c r="A12" s="1"/>
      <x:c r="B12" s="1" t="str">
        <x:v>Microsoft 365 Personal</x:v>
      </x:c>
      <x:c r="C12" s="24" t="n">
        <x:v>1000</x:v>
      </x:c>
      <x:c r="D12" s="33" t="n">
        <x:v>9.99</x:v>
      </x:c>
      <x:c r="E12" s="1" t="str">
        <x:v>Includes Microsoft apps; $99.99 annual option</x:v>
      </x:c>
      <x:c r="F12" s="1"/>
      <x:c r="G12" s="1" t="str">
        <x:v>https://www.microsoft.com/en-us/microsoft-365/onedrive/onedrive-plans-and-pricing</x:v>
      </x:c>
      <x:c r="H12" s="1"/>
      <x:c r="I12" s="1"/>
      <x:c r="J12" s="1"/>
      <x:c r="K12" s="1"/>
    </x:row>
    <x:row r="13" ht="22" customHeight="1">
      <x:c r="A13" s="1"/>
      <x:c r="B13" s="1" t="str">
        <x:v>pCloud Premium</x:v>
      </x:c>
      <x:c r="C13" s="24" t="n">
        <x:v>500</x:v>
      </x:c>
      <x:c r="D13" s="33" t="n">
        <x:v>4.99</x:v>
      </x:c>
      <x:c r="E13" s="1" t="str">
        <x:v>Monthly subscription</x:v>
      </x:c>
      <x:c r="F13" s="1"/>
      <x:c r="G13" s="1" t="str">
        <x:v>https://www.pcloud.com/cloud-storage-pricing-plans.html?period=month</x:v>
      </x:c>
      <x:c r="H13" s="1"/>
      <x:c r="I13" s="1"/>
      <x:c r="J13" s="1"/>
      <x:c r="K13" s="1"/>
    </x:row>
    <x:row r="14" ht="22" customHeight="1">
      <x:c r="A14" s="1"/>
      <x:c r="B14" s="1" t="str">
        <x:v>pCloud Premium Plus</x:v>
      </x:c>
      <x:c r="C14" s="24" t="n">
        <x:v>2000</x:v>
      </x:c>
      <x:c r="D14" s="33" t="n">
        <x:v>9.99</x:v>
      </x:c>
      <x:c r="E14" s="1" t="str">
        <x:v>Monthly subscription</x:v>
      </x:c>
      <x:c r="F14" s="1"/>
      <x:c r="G14" s="1" t="str">
        <x:v>https://www.pcloud.com/cloud-storage-pricing-plans.html?period=month</x:v>
      </x:c>
      <x:c r="H14" s="1"/>
      <x:c r="I14" s="1"/>
      <x:c r="J14" s="1"/>
      <x:c r="K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2" customHeight="1">
      <x:c r="A17" s="1"/>
      <x:c r="B17" s="1" t="str">
        <x:v>Capacities and bundles differ. This compares customer prices, not backend object-storage costs.</x:v>
      </x:c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</x:sheetData>
  <x:pageMargins left="0.7" right="0.7" top="0.75" bottom="0.75" header="0.3" footer="0.3"/>
</x:worksheet>
</file>